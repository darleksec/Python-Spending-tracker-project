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mi/Documents/GitHub/Python-Spending-tracker-project/gui/"/>
    </mc:Choice>
  </mc:AlternateContent>
  <xr:revisionPtr revIDLastSave="0" documentId="13_ncr:1_{6FD52F75-7368-824E-87D6-68DF875909B6}" xr6:coauthVersionLast="47" xr6:coauthVersionMax="47" xr10:uidLastSave="{00000000-0000-0000-0000-000000000000}"/>
  <bookViews>
    <workbookView xWindow="1500" yWindow="1320" windowWidth="27640" windowHeight="16940" xr2:uid="{AFABA4D8-9855-3541-9D24-75B8864BD475}"/>
  </bookViews>
  <sheets>
    <sheet name="Sheet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5" i="1" l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<sst xmlns="http://schemas.openxmlformats.org/spreadsheetml/2006/main" count="196" uniqueCount="38">
  <si>
    <t>Date</t>
  </si>
  <si>
    <t>Category</t>
  </si>
  <si>
    <t>Amount</t>
  </si>
  <si>
    <t>Bank</t>
  </si>
  <si>
    <t>Merchant</t>
  </si>
  <si>
    <t>Rebate</t>
  </si>
  <si>
    <t>Bill</t>
  </si>
  <si>
    <t>HSBC</t>
  </si>
  <si>
    <t>Voxi</t>
  </si>
  <si>
    <t>Transport</t>
  </si>
  <si>
    <t>Uber</t>
  </si>
  <si>
    <t>Dining</t>
  </si>
  <si>
    <t>Café</t>
  </si>
  <si>
    <t>TFL</t>
  </si>
  <si>
    <t>Groceries</t>
  </si>
  <si>
    <t>Tesco</t>
  </si>
  <si>
    <t>Leisure</t>
  </si>
  <si>
    <t>Southark Tavern</t>
  </si>
  <si>
    <t>Shopping</t>
  </si>
  <si>
    <t>Uniqlo</t>
  </si>
  <si>
    <t>Amazon</t>
  </si>
  <si>
    <t>Club</t>
  </si>
  <si>
    <t>M&amp;S</t>
  </si>
  <si>
    <t>Spar</t>
  </si>
  <si>
    <t>Bar SU</t>
  </si>
  <si>
    <t>Campus Kitchen</t>
  </si>
  <si>
    <t>Posters</t>
  </si>
  <si>
    <t>Market</t>
  </si>
  <si>
    <t xml:space="preserve">Korean </t>
  </si>
  <si>
    <t>First Bus</t>
  </si>
  <si>
    <t>Laundry</t>
  </si>
  <si>
    <t>Boots</t>
  </si>
  <si>
    <t>Sport</t>
  </si>
  <si>
    <t>Sportspark</t>
  </si>
  <si>
    <t>Chinatown</t>
  </si>
  <si>
    <t>Clarks</t>
  </si>
  <si>
    <t>Primark</t>
  </si>
  <si>
    <t>Poundland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</si>
</sst>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£-809]* #,##0.00_-;\-[$£-809]* #,##0.00_-;_-[$£-809]* &quot;-&quot;??_-;_-@_-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9" tint="0.39997558519241921"/>
        <bgColor indexed="65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1" fillId="4" borderId="0" applyNumberFormat="0" applyBorder="0" applyAlignment="0" applyProtection="0"/>
    <xf numFmtId="0" fontId="2" fillId="5" borderId="0" applyNumberFormat="0" applyBorder="0" applyAlignment="0" applyProtection="0"/>
    <xf numFmtId="0" fontId="1" fillId="6" borderId="0" applyNumberFormat="0" applyBorder="0" applyAlignment="0" applyProtection="0"/>
  </cellStyleXfs>
  <cellXfs count="16">
    <xf numFmtId="0" fontId="0" fillId="0" borderId="0" xfId="0"/>
    <xf numFmtId="164" fontId="0" fillId="0" borderId="1" xfId="0" applyNumberFormat="1" applyBorder="1"/>
    <xf numFmtId="14" fontId="2" fillId="3" borderId="3" xfId="2" applyNumberFormat="1" applyBorder="1"/>
    <xf numFmtId="0" fontId="2" fillId="5" borderId="4" xfId="4" applyBorder="1"/>
    <xf numFmtId="164" fontId="0" fillId="0" borderId="4" xfId="0" applyNumberFormat="1" applyBorder="1"/>
    <xf numFmtId="0" fontId="1" fillId="2" borderId="4" xfId="1" applyBorder="1"/>
    <xf numFmtId="0" fontId="1" fillId="4" borderId="5" xfId="3" applyBorder="1"/>
    <xf numFmtId="164" fontId="1" fillId="6" borderId="1" xfId="5" applyNumberFormat="1" applyBorder="1"/>
    <xf numFmtId="14" fontId="2" fillId="3" borderId="6" xfId="2" applyNumberFormat="1" applyBorder="1"/>
    <xf numFmtId="0" fontId="2" fillId="5" borderId="1" xfId="4" applyBorder="1"/>
    <xf numFmtId="0" fontId="0" fillId="2" borderId="1" xfId="1" applyFont="1" applyBorder="1"/>
    <xf numFmtId="0" fontId="0" fillId="4" borderId="2" xfId="3" applyFont="1" applyBorder="1"/>
    <xf numFmtId="0" fontId="2" fillId="5" borderId="7" xfId="4" applyBorder="1"/>
    <xf numFmtId="164" fontId="0" fillId="0" borderId="7" xfId="0" applyNumberFormat="1" applyBorder="1"/>
    <xf numFmtId="0" fontId="0" fillId="4" borderId="8" xfId="3" applyFont="1" applyBorder="1"/>
    <xf numFmtId="0" fontId="1" fillId="4" borderId="2" xfId="3" applyBorder="1"/>
  </cellXfs>
  <cellStyles count="6">
    <cellStyle name="40% - Accent2" xfId="3" builtinId="35"/>
    <cellStyle name="60% - Accent1" xfId="1" builtinId="32"/>
    <cellStyle name="60% - Accent6" xfId="5" builtinId="52"/>
    <cellStyle name="Accent2" xfId="2" builtinId="33"/>
    <cellStyle name="Accent5" xfId="4" builtinId="4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kimi/Documents/Budget.xlsx" TargetMode="External"/><Relationship Id="rId1" Type="http://schemas.openxmlformats.org/officeDocument/2006/relationships/externalLinkPath" Target="/Users/kimi/Documents/Budg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view"/>
      <sheetName val="Sheet2"/>
      <sheetName val="Sheet1"/>
      <sheetName val="Sep 2024"/>
      <sheetName val="Sep 2024 Chart"/>
      <sheetName val="Oct 2024"/>
      <sheetName val="Oct 2024 Chart"/>
      <sheetName val="Nov 2024"/>
      <sheetName val="Nov 2024 Chart"/>
      <sheetName val="Dec 2024"/>
      <sheetName val="Dec 2024 Chart"/>
      <sheetName val="Jan 2025"/>
      <sheetName val="Jan 2025 Chart"/>
      <sheetName val="Feb 2025"/>
      <sheetName val="Feb 2025 Cha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08A85-6F94-F842-8585-5000090A78C4}">
  <dimension ref="A1:F65"/>
  <sheetViews>
    <sheetView tabSelected="1" workbookViewId="0">
      <selection activeCell="J11" sqref="J11"/>
    </sheetView>
  </sheetViews>
  <sheetFormatPr baseColWidth="10" defaultRowHeight="16" x14ac:dyDescent="0.2"/>
  <sheetData>
    <row r="1" spans="1:6" x14ac:dyDescent="0.2">
      <c r="A1" s="2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7" t="s">
        <v>5</v>
      </c>
    </row>
    <row r="2" spans="1:6" x14ac:dyDescent="0.2">
      <c r="A2" s="8">
        <v>45544</v>
      </c>
      <c r="B2" s="9" t="s">
        <v>6</v>
      </c>
      <c r="C2" s="1">
        <v>10</v>
      </c>
      <c r="D2" s="10" t="s">
        <v>7</v>
      </c>
      <c r="E2" s="11" t="s">
        <v>8</v>
      </c>
      <c r="F2" s="7" t="e">
        <f>IF([1]!Table13[[#This Row],[Bank]]="HSBC",[1]!Table13[[#This Row],[Amount]]*0.004,IF(AND([1]!Table13[[#This Row],[Bank]]="Lloyds",[1]!Table13[[#This Row],[Merchant]]="Sainsbury's"),[1]!Table13[[#This Row],[Amount]]*0.05,0))</f>
        <v>#VALUE!</v>
      </c>
    </row>
    <row r="3" spans="1:6" x14ac:dyDescent="0.2">
      <c r="A3" s="8">
        <v>45544</v>
      </c>
      <c r="B3" s="9" t="s">
        <v>9</v>
      </c>
      <c r="C3" s="1">
        <v>74.97</v>
      </c>
      <c r="D3" s="10" t="s">
        <v>7</v>
      </c>
      <c r="E3" s="11" t="s">
        <v>10</v>
      </c>
      <c r="F3" s="7">
        <f>IF([1]!Table13[[#This Row],[Bank]]="HSBC",[1]!Table13[[#This Row],[Amount]]*0.004,IF(AND([1]!Table13[[#This Row],[Bank]]="Lloyds",[1]!Table13[[#This Row],[Merchant]]="Sainsbury's"),[1]!Table13[[#This Row],[Amount]]*0.05,0))</f>
        <v>0.04</v>
      </c>
    </row>
    <row r="4" spans="1:6" x14ac:dyDescent="0.2">
      <c r="A4" s="8">
        <v>45546</v>
      </c>
      <c r="B4" s="9" t="s">
        <v>11</v>
      </c>
      <c r="C4" s="1">
        <v>3.8</v>
      </c>
      <c r="D4" s="10" t="s">
        <v>7</v>
      </c>
      <c r="E4" s="11" t="s">
        <v>12</v>
      </c>
      <c r="F4" s="7">
        <f>IF([1]!Table13[[#This Row],[Bank]]="HSBC",[1]!Table13[[#This Row],[Amount]]*0.004,IF(AND([1]!Table13[[#This Row],[Bank]]="Lloyds",[1]!Table13[[#This Row],[Merchant]]="Sainsbury's"),[1]!Table13[[#This Row],[Amount]]*0.05,0))</f>
        <v>0.29987999999999998</v>
      </c>
    </row>
    <row r="5" spans="1:6" x14ac:dyDescent="0.2">
      <c r="A5" s="8">
        <v>45546</v>
      </c>
      <c r="B5" s="9" t="s">
        <v>9</v>
      </c>
      <c r="C5" s="1">
        <v>7</v>
      </c>
      <c r="D5" s="10" t="s">
        <v>7</v>
      </c>
      <c r="E5" s="11" t="s">
        <v>13</v>
      </c>
      <c r="F5" s="7">
        <f>IF([1]!Table13[[#This Row],[Bank]]="HSBC",[1]!Table13[[#This Row],[Amount]]*0.004,IF(AND([1]!Table13[[#This Row],[Bank]]="Lloyds",[1]!Table13[[#This Row],[Merchant]]="Sainsbury's"),[1]!Table13[[#This Row],[Amount]]*0.05,0))</f>
        <v>1.52E-2</v>
      </c>
    </row>
    <row r="6" spans="1:6" x14ac:dyDescent="0.2">
      <c r="A6" s="8">
        <v>45546</v>
      </c>
      <c r="B6" s="9" t="s">
        <v>14</v>
      </c>
      <c r="C6" s="1">
        <v>3.1</v>
      </c>
      <c r="D6" s="10" t="s">
        <v>7</v>
      </c>
      <c r="E6" s="11" t="s">
        <v>15</v>
      </c>
      <c r="F6" s="7">
        <f>IF([1]!Table13[[#This Row],[Bank]]="HSBC",[1]!Table13[[#This Row],[Amount]]*0.004,IF(AND([1]!Table13[[#This Row],[Bank]]="Lloyds",[1]!Table13[[#This Row],[Merchant]]="Sainsbury's"),[1]!Table13[[#This Row],[Amount]]*0.05,0))</f>
        <v>2.8000000000000001E-2</v>
      </c>
    </row>
    <row r="7" spans="1:6" x14ac:dyDescent="0.2">
      <c r="A7" s="8">
        <v>45546</v>
      </c>
      <c r="B7" s="9" t="s">
        <v>16</v>
      </c>
      <c r="C7" s="1">
        <v>3.6</v>
      </c>
      <c r="D7" s="10" t="s">
        <v>7</v>
      </c>
      <c r="E7" s="11" t="s">
        <v>17</v>
      </c>
      <c r="F7" s="7">
        <f>IF([1]!Table13[[#This Row],[Bank]]="HSBC",[1]!Table13[[#This Row],[Amount]]*0.004,IF(AND([1]!Table13[[#This Row],[Bank]]="Lloyds",[1]!Table13[[#This Row],[Merchant]]="Sainsbury's"),[1]!Table13[[#This Row],[Amount]]*0.05,0))</f>
        <v>1.2400000000000001E-2</v>
      </c>
    </row>
    <row r="8" spans="1:6" x14ac:dyDescent="0.2">
      <c r="A8" s="8">
        <v>45547</v>
      </c>
      <c r="B8" s="9" t="s">
        <v>9</v>
      </c>
      <c r="C8" s="1">
        <v>13.8</v>
      </c>
      <c r="D8" s="10" t="s">
        <v>7</v>
      </c>
      <c r="E8" s="11" t="s">
        <v>13</v>
      </c>
      <c r="F8" s="7">
        <f>IF([1]!Table13[[#This Row],[Bank]]="HSBC",[1]!Table13[[#This Row],[Amount]]*0.004,IF(AND([1]!Table13[[#This Row],[Bank]]="Lloyds",[1]!Table13[[#This Row],[Merchant]]="Sainsbury's"),[1]!Table13[[#This Row],[Amount]]*0.05,0))</f>
        <v>1.4400000000000001E-2</v>
      </c>
    </row>
    <row r="9" spans="1:6" x14ac:dyDescent="0.2">
      <c r="A9" s="8">
        <v>45548</v>
      </c>
      <c r="B9" s="9" t="s">
        <v>9</v>
      </c>
      <c r="C9" s="1">
        <v>11.9</v>
      </c>
      <c r="D9" s="10" t="s">
        <v>7</v>
      </c>
      <c r="E9" s="11" t="s">
        <v>13</v>
      </c>
      <c r="F9" s="7">
        <f>IF([1]!Table13[[#This Row],[Bank]]="HSBC",[1]!Table13[[#This Row],[Amount]]*0.004,IF(AND([1]!Table13[[#This Row],[Bank]]="Lloyds",[1]!Table13[[#This Row],[Merchant]]="Sainsbury's"),[1]!Table13[[#This Row],[Amount]]*0.05,0))</f>
        <v>5.5200000000000006E-2</v>
      </c>
    </row>
    <row r="10" spans="1:6" x14ac:dyDescent="0.2">
      <c r="A10" s="8">
        <v>45548</v>
      </c>
      <c r="B10" s="9" t="s">
        <v>9</v>
      </c>
      <c r="C10" s="1">
        <v>7</v>
      </c>
      <c r="D10" s="10" t="s">
        <v>7</v>
      </c>
      <c r="E10" s="11" t="s">
        <v>13</v>
      </c>
      <c r="F10" s="7">
        <f>IF([1]!Table13[[#This Row],[Bank]]="HSBC",[1]!Table13[[#This Row],[Amount]]*0.004,IF(AND([1]!Table13[[#This Row],[Bank]]="Lloyds",[1]!Table13[[#This Row],[Merchant]]="Sainsbury's"),[1]!Table13[[#This Row],[Amount]]*0.05,0))</f>
        <v>4.7600000000000003E-2</v>
      </c>
    </row>
    <row r="11" spans="1:6" x14ac:dyDescent="0.2">
      <c r="A11" s="8">
        <v>45549</v>
      </c>
      <c r="B11" s="9" t="s">
        <v>18</v>
      </c>
      <c r="C11" s="1">
        <v>100.1</v>
      </c>
      <c r="D11" s="10" t="s">
        <v>7</v>
      </c>
      <c r="E11" s="11" t="s">
        <v>19</v>
      </c>
      <c r="F11" s="7">
        <f>IF([1]!Table13[[#This Row],[Bank]]="HSBC",[1]!Table13[[#This Row],[Amount]]*0.004,IF(AND([1]!Table13[[#This Row],[Bank]]="Lloyds",[1]!Table13[[#This Row],[Merchant]]="Sainsbury's"),[1]!Table13[[#This Row],[Amount]]*0.05,0))</f>
        <v>2.8000000000000001E-2</v>
      </c>
    </row>
    <row r="12" spans="1:6" x14ac:dyDescent="0.2">
      <c r="A12" s="8">
        <v>45549</v>
      </c>
      <c r="B12" s="12" t="s">
        <v>18</v>
      </c>
      <c r="C12" s="13">
        <v>21.68</v>
      </c>
      <c r="D12" s="10" t="s">
        <v>7</v>
      </c>
      <c r="E12" s="14" t="s">
        <v>20</v>
      </c>
      <c r="F12" s="7">
        <f>IF([1]!Table13[[#This Row],[Bank]]="HSBC",[1]!Table13[[#This Row],[Amount]]*0.004,IF(AND([1]!Table13[[#This Row],[Bank]]="Lloyds",[1]!Table13[[#This Row],[Merchant]]="Sainsbury's"),[1]!Table13[[#This Row],[Amount]]*0.05,0))</f>
        <v>0.40039999999999998</v>
      </c>
    </row>
    <row r="13" spans="1:6" x14ac:dyDescent="0.2">
      <c r="A13" s="8">
        <v>45549</v>
      </c>
      <c r="B13" s="9" t="s">
        <v>18</v>
      </c>
      <c r="C13" s="1">
        <v>47.98</v>
      </c>
      <c r="D13" s="10" t="s">
        <v>7</v>
      </c>
      <c r="E13" s="11" t="s">
        <v>20</v>
      </c>
      <c r="F13" s="7">
        <f>IF([1]!Table13[[#This Row],[Bank]]="HSBC",[1]!Table13[[#This Row],[Amount]]*0.004,IF(AND([1]!Table13[[#This Row],[Bank]]="Lloyds",[1]!Table13[[#This Row],[Merchant]]="Sainsbury's"),[1]!Table13[[#This Row],[Amount]]*0.05,0))</f>
        <v>8.6720000000000005E-2</v>
      </c>
    </row>
    <row r="14" spans="1:6" x14ac:dyDescent="0.2">
      <c r="A14" s="8">
        <v>45550</v>
      </c>
      <c r="B14" s="9" t="s">
        <v>9</v>
      </c>
      <c r="C14" s="1">
        <v>13.05</v>
      </c>
      <c r="D14" s="10" t="s">
        <v>7</v>
      </c>
      <c r="E14" s="11" t="s">
        <v>13</v>
      </c>
      <c r="F14" s="7">
        <f>IF([1]!Table13[[#This Row],[Bank]]="HSBC",[1]!Table13[[#This Row],[Amount]]*0.004,IF(AND([1]!Table13[[#This Row],[Bank]]="Lloyds",[1]!Table13[[#This Row],[Merchant]]="Sainsbury's"),[1]!Table13[[#This Row],[Amount]]*0.05,0))</f>
        <v>0.19191999999999998</v>
      </c>
    </row>
    <row r="15" spans="1:6" x14ac:dyDescent="0.2">
      <c r="A15" s="8">
        <v>45550</v>
      </c>
      <c r="B15" s="9" t="s">
        <v>18</v>
      </c>
      <c r="C15" s="1">
        <v>16.079999999999998</v>
      </c>
      <c r="D15" s="10" t="s">
        <v>7</v>
      </c>
      <c r="E15" s="11" t="s">
        <v>20</v>
      </c>
      <c r="F15" s="7">
        <f>IF([1]!Table13[[#This Row],[Bank]]="HSBC",[1]!Table13[[#This Row],[Amount]]*0.004,IF(AND([1]!Table13[[#This Row],[Bank]]="Lloyds",[1]!Table13[[#This Row],[Merchant]]="Sainsbury's"),[1]!Table13[[#This Row],[Amount]]*0.05,0))</f>
        <v>5.2200000000000003E-2</v>
      </c>
    </row>
    <row r="16" spans="1:6" x14ac:dyDescent="0.2">
      <c r="A16" s="8">
        <v>45551</v>
      </c>
      <c r="B16" s="9" t="s">
        <v>16</v>
      </c>
      <c r="C16" s="1">
        <v>8.81</v>
      </c>
      <c r="D16" s="10" t="s">
        <v>7</v>
      </c>
      <c r="E16" s="11" t="s">
        <v>21</v>
      </c>
      <c r="F16" s="7">
        <f>IF([1]!Table13[[#This Row],[Bank]]="HSBC",[1]!Table13[[#This Row],[Amount]]*0.004,IF(AND([1]!Table13[[#This Row],[Bank]]="Lloyds",[1]!Table13[[#This Row],[Merchant]]="Sainsbury's"),[1]!Table13[[#This Row],[Amount]]*0.05,0))</f>
        <v>6.4319999999999988E-2</v>
      </c>
    </row>
    <row r="17" spans="1:6" x14ac:dyDescent="0.2">
      <c r="A17" s="8">
        <v>45551</v>
      </c>
      <c r="B17" s="9" t="s">
        <v>18</v>
      </c>
      <c r="C17" s="1">
        <v>22.1</v>
      </c>
      <c r="D17" s="10" t="s">
        <v>7</v>
      </c>
      <c r="E17" s="11" t="s">
        <v>22</v>
      </c>
      <c r="F17" s="7">
        <f>IF([1]!Table13[[#This Row],[Bank]]="HSBC",[1]!Table13[[#This Row],[Amount]]*0.004,IF(AND([1]!Table13[[#This Row],[Bank]]="Lloyds",[1]!Table13[[#This Row],[Merchant]]="Sainsbury's"),[1]!Table13[[#This Row],[Amount]]*0.05,0))</f>
        <v>3.524E-2</v>
      </c>
    </row>
    <row r="18" spans="1:6" x14ac:dyDescent="0.2">
      <c r="A18" s="8">
        <v>45552</v>
      </c>
      <c r="B18" s="9" t="s">
        <v>14</v>
      </c>
      <c r="C18" s="1">
        <v>8.7799999999999994</v>
      </c>
      <c r="D18" s="10" t="s">
        <v>7</v>
      </c>
      <c r="E18" s="11" t="s">
        <v>23</v>
      </c>
      <c r="F18" s="7">
        <f>IF([1]!Table13[[#This Row],[Bank]]="HSBC",[1]!Table13[[#This Row],[Amount]]*0.004,IF(AND([1]!Table13[[#This Row],[Bank]]="Lloyds",[1]!Table13[[#This Row],[Merchant]]="Sainsbury's"),[1]!Table13[[#This Row],[Amount]]*0.05,0))</f>
        <v>8.8400000000000006E-2</v>
      </c>
    </row>
    <row r="19" spans="1:6" x14ac:dyDescent="0.2">
      <c r="A19" s="8">
        <v>45552</v>
      </c>
      <c r="B19" s="9" t="s">
        <v>14</v>
      </c>
      <c r="C19" s="1">
        <v>7.66</v>
      </c>
      <c r="D19" s="10" t="s">
        <v>7</v>
      </c>
      <c r="E19" s="11" t="s">
        <v>23</v>
      </c>
      <c r="F19" s="7">
        <f>IF([1]!Table13[[#This Row],[Bank]]="HSBC",[1]!Table13[[#This Row],[Amount]]*0.004,IF(AND([1]!Table13[[#This Row],[Bank]]="Lloyds",[1]!Table13[[#This Row],[Merchant]]="Sainsbury's"),[1]!Table13[[#This Row],[Amount]]*0.05,0))</f>
        <v>3.5119999999999998E-2</v>
      </c>
    </row>
    <row r="20" spans="1:6" x14ac:dyDescent="0.2">
      <c r="A20" s="8">
        <v>45552</v>
      </c>
      <c r="B20" s="9" t="s">
        <v>16</v>
      </c>
      <c r="C20" s="1">
        <v>3.8</v>
      </c>
      <c r="D20" s="10" t="s">
        <v>7</v>
      </c>
      <c r="E20" s="11" t="s">
        <v>24</v>
      </c>
      <c r="F20" s="7">
        <f>IF([1]!Table13[[#This Row],[Bank]]="HSBC",[1]!Table13[[#This Row],[Amount]]*0.004,IF(AND([1]!Table13[[#This Row],[Bank]]="Lloyds",[1]!Table13[[#This Row],[Merchant]]="Sainsbury's"),[1]!Table13[[#This Row],[Amount]]*0.05,0))</f>
        <v>3.0640000000000001E-2</v>
      </c>
    </row>
    <row r="21" spans="1:6" x14ac:dyDescent="0.2">
      <c r="A21" s="8">
        <v>45552</v>
      </c>
      <c r="B21" s="9" t="s">
        <v>11</v>
      </c>
      <c r="C21" s="1">
        <v>6</v>
      </c>
      <c r="D21" s="10" t="s">
        <v>7</v>
      </c>
      <c r="E21" s="11" t="s">
        <v>25</v>
      </c>
      <c r="F21" s="7">
        <f>IF([1]!Table13[[#This Row],[Bank]]="HSBC",[1]!Table13[[#This Row],[Amount]]*0.004,IF(AND([1]!Table13[[#This Row],[Bank]]="Lloyds",[1]!Table13[[#This Row],[Merchant]]="Sainsbury's"),[1]!Table13[[#This Row],[Amount]]*0.05,0))</f>
        <v>1.52E-2</v>
      </c>
    </row>
    <row r="22" spans="1:6" x14ac:dyDescent="0.2">
      <c r="A22" s="8">
        <v>45553</v>
      </c>
      <c r="B22" s="9" t="s">
        <v>16</v>
      </c>
      <c r="C22" s="1">
        <v>7.8</v>
      </c>
      <c r="D22" s="10" t="s">
        <v>7</v>
      </c>
      <c r="E22" s="11" t="s">
        <v>21</v>
      </c>
      <c r="F22" s="7">
        <f>IF([1]!Table13[[#This Row],[Bank]]="HSBC",[1]!Table13[[#This Row],[Amount]]*0.004,IF(AND([1]!Table13[[#This Row],[Bank]]="Lloyds",[1]!Table13[[#This Row],[Merchant]]="Sainsbury's"),[1]!Table13[[#This Row],[Amount]]*0.05,0))</f>
        <v>2.4E-2</v>
      </c>
    </row>
    <row r="23" spans="1:6" x14ac:dyDescent="0.2">
      <c r="A23" s="8">
        <v>45553</v>
      </c>
      <c r="B23" s="9" t="s">
        <v>14</v>
      </c>
      <c r="C23" s="1">
        <v>4.08</v>
      </c>
      <c r="D23" s="10" t="s">
        <v>7</v>
      </c>
      <c r="E23" s="11" t="s">
        <v>23</v>
      </c>
      <c r="F23" s="7">
        <f>IF([1]!Table13[[#This Row],[Bank]]="HSBC",[1]!Table13[[#This Row],[Amount]]*0.004,IF(AND([1]!Table13[[#This Row],[Bank]]="Lloyds",[1]!Table13[[#This Row],[Merchant]]="Sainsbury's"),[1]!Table13[[#This Row],[Amount]]*0.05,0))</f>
        <v>3.1199999999999999E-2</v>
      </c>
    </row>
    <row r="24" spans="1:6" x14ac:dyDescent="0.2">
      <c r="A24" s="8">
        <v>45553</v>
      </c>
      <c r="B24" s="9" t="s">
        <v>16</v>
      </c>
      <c r="C24" s="1">
        <v>3.8</v>
      </c>
      <c r="D24" s="10" t="s">
        <v>7</v>
      </c>
      <c r="E24" s="11" t="s">
        <v>24</v>
      </c>
      <c r="F24" s="7">
        <f>IF([1]!Table13[[#This Row],[Bank]]="HSBC",[1]!Table13[[#This Row],[Amount]]*0.004,IF(AND([1]!Table13[[#This Row],[Bank]]="Lloyds",[1]!Table13[[#This Row],[Merchant]]="Sainsbury's"),[1]!Table13[[#This Row],[Amount]]*0.05,0))</f>
        <v>1.6320000000000001E-2</v>
      </c>
    </row>
    <row r="25" spans="1:6" x14ac:dyDescent="0.2">
      <c r="A25" s="8">
        <v>45554</v>
      </c>
      <c r="B25" s="9" t="s">
        <v>11</v>
      </c>
      <c r="C25" s="1">
        <v>5</v>
      </c>
      <c r="D25" s="10" t="s">
        <v>7</v>
      </c>
      <c r="E25" s="11" t="s">
        <v>25</v>
      </c>
      <c r="F25" s="7">
        <f>IF([1]!Table13[[#This Row],[Bank]]="HSBC",[1]!Table13[[#This Row],[Amount]]*0.004,IF(AND([1]!Table13[[#This Row],[Bank]]="Lloyds",[1]!Table13[[#This Row],[Merchant]]="Sainsbury's"),[1]!Table13[[#This Row],[Amount]]*0.05,0))</f>
        <v>1.52E-2</v>
      </c>
    </row>
    <row r="26" spans="1:6" x14ac:dyDescent="0.2">
      <c r="A26" s="8">
        <v>45554</v>
      </c>
      <c r="B26" s="9" t="s">
        <v>18</v>
      </c>
      <c r="C26" s="1">
        <v>8.49</v>
      </c>
      <c r="D26" s="10" t="s">
        <v>7</v>
      </c>
      <c r="E26" s="11" t="s">
        <v>20</v>
      </c>
      <c r="F26" s="7">
        <f>IF([1]!Table13[[#This Row],[Bank]]="HSBC",[1]!Table13[[#This Row],[Amount]]*0.004,IF(AND([1]!Table13[[#This Row],[Bank]]="Lloyds",[1]!Table13[[#This Row],[Merchant]]="Sainsbury's"),[1]!Table13[[#This Row],[Amount]]*0.05,0))</f>
        <v>0.02</v>
      </c>
    </row>
    <row r="27" spans="1:6" x14ac:dyDescent="0.2">
      <c r="A27" s="8">
        <v>45555</v>
      </c>
      <c r="B27" s="9" t="s">
        <v>16</v>
      </c>
      <c r="C27" s="1">
        <v>5.27</v>
      </c>
      <c r="D27" s="10" t="s">
        <v>7</v>
      </c>
      <c r="E27" s="11" t="s">
        <v>21</v>
      </c>
      <c r="F27" s="7">
        <f>IF([1]!Table13[[#This Row],[Bank]]="HSBC",[1]!Table13[[#This Row],[Amount]]*0.004,IF(AND([1]!Table13[[#This Row],[Bank]]="Lloyds",[1]!Table13[[#This Row],[Merchant]]="Sainsbury's"),[1]!Table13[[#This Row],[Amount]]*0.05,0))</f>
        <v>3.3960000000000004E-2</v>
      </c>
    </row>
    <row r="28" spans="1:6" x14ac:dyDescent="0.2">
      <c r="A28" s="8">
        <v>45555</v>
      </c>
      <c r="B28" s="9" t="s">
        <v>18</v>
      </c>
      <c r="C28" s="1">
        <v>21</v>
      </c>
      <c r="D28" s="10" t="s">
        <v>7</v>
      </c>
      <c r="E28" s="11" t="s">
        <v>26</v>
      </c>
      <c r="F28" s="7">
        <f>IF([1]!Table13[[#This Row],[Bank]]="HSBC",[1]!Table13[[#This Row],[Amount]]*0.004,IF(AND([1]!Table13[[#This Row],[Bank]]="Lloyds",[1]!Table13[[#This Row],[Merchant]]="Sainsbury's"),[1]!Table13[[#This Row],[Amount]]*0.05,0))</f>
        <v>2.1079999999999998E-2</v>
      </c>
    </row>
    <row r="29" spans="1:6" x14ac:dyDescent="0.2">
      <c r="A29" s="8">
        <v>45555</v>
      </c>
      <c r="B29" s="9" t="s">
        <v>18</v>
      </c>
      <c r="C29" s="1">
        <v>9.99</v>
      </c>
      <c r="D29" s="10" t="s">
        <v>7</v>
      </c>
      <c r="E29" s="11" t="s">
        <v>20</v>
      </c>
      <c r="F29" s="7">
        <f>IF([1]!Table13[[#This Row],[Bank]]="HSBC",[1]!Table13[[#This Row],[Amount]]*0.004,IF(AND([1]!Table13[[#This Row],[Bank]]="Lloyds",[1]!Table13[[#This Row],[Merchant]]="Sainsbury's"),[1]!Table13[[#This Row],[Amount]]*0.05,0))</f>
        <v>8.4000000000000005E-2</v>
      </c>
    </row>
    <row r="30" spans="1:6" x14ac:dyDescent="0.2">
      <c r="A30" s="8">
        <v>45556</v>
      </c>
      <c r="B30" s="9" t="s">
        <v>11</v>
      </c>
      <c r="C30" s="1">
        <v>4</v>
      </c>
      <c r="D30" s="10" t="s">
        <v>7</v>
      </c>
      <c r="E30" s="11" t="s">
        <v>27</v>
      </c>
      <c r="F30" s="7">
        <f>IF([1]!Table13[[#This Row],[Bank]]="HSBC",[1]!Table13[[#This Row],[Amount]]*0.004,IF(AND([1]!Table13[[#This Row],[Bank]]="Lloyds",[1]!Table13[[#This Row],[Merchant]]="Sainsbury's"),[1]!Table13[[#This Row],[Amount]]*0.05,0))</f>
        <v>3.9960000000000002E-2</v>
      </c>
    </row>
    <row r="31" spans="1:6" x14ac:dyDescent="0.2">
      <c r="A31" s="8">
        <v>45556</v>
      </c>
      <c r="B31" s="9" t="s">
        <v>14</v>
      </c>
      <c r="C31" s="1">
        <v>2.5</v>
      </c>
      <c r="D31" s="10" t="s">
        <v>7</v>
      </c>
      <c r="E31" s="11" t="s">
        <v>28</v>
      </c>
      <c r="F31" s="7">
        <f>IF([1]!Table13[[#This Row],[Bank]]="HSBC",[1]!Table13[[#This Row],[Amount]]*0.004,IF(AND([1]!Table13[[#This Row],[Bank]]="Lloyds",[1]!Table13[[#This Row],[Merchant]]="Sainsbury's"),[1]!Table13[[#This Row],[Amount]]*0.05,0))</f>
        <v>1.6E-2</v>
      </c>
    </row>
    <row r="32" spans="1:6" x14ac:dyDescent="0.2">
      <c r="A32" s="8">
        <v>45556</v>
      </c>
      <c r="B32" s="9" t="s">
        <v>9</v>
      </c>
      <c r="C32" s="1">
        <v>4.5</v>
      </c>
      <c r="D32" s="10" t="s">
        <v>7</v>
      </c>
      <c r="E32" s="11" t="s">
        <v>29</v>
      </c>
      <c r="F32" s="7">
        <f>IF([1]!Table13[[#This Row],[Bank]]="HSBC",[1]!Table13[[#This Row],[Amount]]*0.004,IF(AND([1]!Table13[[#This Row],[Bank]]="Lloyds",[1]!Table13[[#This Row],[Merchant]]="Sainsbury's"),[1]!Table13[[#This Row],[Amount]]*0.05,0))</f>
        <v>0.01</v>
      </c>
    </row>
    <row r="33" spans="1:6" x14ac:dyDescent="0.2">
      <c r="A33" s="8">
        <v>45556</v>
      </c>
      <c r="B33" s="9" t="s">
        <v>30</v>
      </c>
      <c r="C33" s="1">
        <v>10</v>
      </c>
      <c r="D33" s="10" t="s">
        <v>7</v>
      </c>
      <c r="E33" s="11" t="s">
        <v>30</v>
      </c>
      <c r="F33" s="7">
        <f>IF([1]!Table13[[#This Row],[Bank]]="HSBC",[1]!Table13[[#This Row],[Amount]]*0.004,IF(AND([1]!Table13[[#This Row],[Bank]]="Lloyds",[1]!Table13[[#This Row],[Merchant]]="Sainsbury's"),[1]!Table13[[#This Row],[Amount]]*0.05,0))</f>
        <v>1.8000000000000002E-2</v>
      </c>
    </row>
    <row r="34" spans="1:6" x14ac:dyDescent="0.2">
      <c r="A34" s="8">
        <v>45556</v>
      </c>
      <c r="B34" s="9" t="s">
        <v>14</v>
      </c>
      <c r="C34" s="1">
        <v>13.08</v>
      </c>
      <c r="D34" s="10" t="s">
        <v>7</v>
      </c>
      <c r="E34" s="11" t="s">
        <v>31</v>
      </c>
      <c r="F34" s="7">
        <f>IF([1]!Table13[[#This Row],[Bank]]="HSBC",[1]!Table13[[#This Row],[Amount]]*0.004,IF(AND([1]!Table13[[#This Row],[Bank]]="Lloyds",[1]!Table13[[#This Row],[Merchant]]="Sainsbury's"),[1]!Table13[[#This Row],[Amount]]*0.05,0))</f>
        <v>0.04</v>
      </c>
    </row>
    <row r="35" spans="1:6" x14ac:dyDescent="0.2">
      <c r="A35" s="8">
        <v>45557</v>
      </c>
      <c r="B35" s="9" t="s">
        <v>11</v>
      </c>
      <c r="C35" s="1">
        <v>6.2</v>
      </c>
      <c r="D35" s="10" t="s">
        <v>7</v>
      </c>
      <c r="E35" s="11" t="s">
        <v>25</v>
      </c>
      <c r="F35" s="7">
        <f>IF([1]!Table13[[#This Row],[Bank]]="HSBC",[1]!Table13[[#This Row],[Amount]]*0.004,IF(AND([1]!Table13[[#This Row],[Bank]]="Lloyds",[1]!Table13[[#This Row],[Merchant]]="Sainsbury's"),[1]!Table13[[#This Row],[Amount]]*0.05,0))</f>
        <v>5.2319999999999998E-2</v>
      </c>
    </row>
    <row r="36" spans="1:6" x14ac:dyDescent="0.2">
      <c r="A36" s="8">
        <v>45557</v>
      </c>
      <c r="B36" s="9" t="s">
        <v>14</v>
      </c>
      <c r="C36" s="1">
        <v>4.28</v>
      </c>
      <c r="D36" s="10" t="s">
        <v>7</v>
      </c>
      <c r="E36" s="11" t="s">
        <v>23</v>
      </c>
      <c r="F36" s="7">
        <f>IF([1]!Table13[[#This Row],[Bank]]="HSBC",[1]!Table13[[#This Row],[Amount]]*0.004,IF(AND([1]!Table13[[#This Row],[Bank]]="Lloyds",[1]!Table13[[#This Row],[Merchant]]="Sainsbury's"),[1]!Table13[[#This Row],[Amount]]*0.05,0))</f>
        <v>2.4800000000000003E-2</v>
      </c>
    </row>
    <row r="37" spans="1:6" x14ac:dyDescent="0.2">
      <c r="A37" s="8">
        <v>45557</v>
      </c>
      <c r="B37" s="9" t="s">
        <v>11</v>
      </c>
      <c r="C37" s="1">
        <v>7</v>
      </c>
      <c r="D37" s="10" t="s">
        <v>7</v>
      </c>
      <c r="E37" s="11" t="s">
        <v>25</v>
      </c>
      <c r="F37" s="7">
        <f>IF([1]!Table13[[#This Row],[Bank]]="HSBC",[1]!Table13[[#This Row],[Amount]]*0.004,IF(AND([1]!Table13[[#This Row],[Bank]]="Lloyds",[1]!Table13[[#This Row],[Merchant]]="Sainsbury's"),[1]!Table13[[#This Row],[Amount]]*0.05,0))</f>
        <v>1.712E-2</v>
      </c>
    </row>
    <row r="38" spans="1:6" x14ac:dyDescent="0.2">
      <c r="A38" s="8">
        <v>45558</v>
      </c>
      <c r="B38" s="9" t="s">
        <v>14</v>
      </c>
      <c r="C38" s="1">
        <v>4.49</v>
      </c>
      <c r="D38" s="10" t="s">
        <v>7</v>
      </c>
      <c r="E38" s="11" t="s">
        <v>23</v>
      </c>
      <c r="F38" s="7">
        <f>IF([1]!Table13[[#This Row],[Bank]]="HSBC",[1]!Table13[[#This Row],[Amount]]*0.004,IF(AND([1]!Table13[[#This Row],[Bank]]="Lloyds",[1]!Table13[[#This Row],[Merchant]]="Sainsbury's"),[1]!Table13[[#This Row],[Amount]]*0.05,0))</f>
        <v>2.8000000000000001E-2</v>
      </c>
    </row>
    <row r="39" spans="1:6" x14ac:dyDescent="0.2">
      <c r="A39" s="8">
        <v>45558</v>
      </c>
      <c r="B39" s="9" t="s">
        <v>32</v>
      </c>
      <c r="C39" s="1">
        <v>157.5</v>
      </c>
      <c r="D39" s="10" t="s">
        <v>7</v>
      </c>
      <c r="E39" s="11" t="s">
        <v>33</v>
      </c>
      <c r="F39" s="7">
        <f>IF([1]!Table13[[#This Row],[Bank]]="HSBC",[1]!Table13[[#This Row],[Amount]]*0.004,IF(AND([1]!Table13[[#This Row],[Bank]]="Lloyds",[1]!Table13[[#This Row],[Merchant]]="Sainsbury's"),[1]!Table13[[#This Row],[Amount]]*0.05,0))</f>
        <v>1.796E-2</v>
      </c>
    </row>
    <row r="40" spans="1:6" x14ac:dyDescent="0.2">
      <c r="A40" s="8">
        <v>45558</v>
      </c>
      <c r="B40" s="9" t="s">
        <v>32</v>
      </c>
      <c r="C40" s="1">
        <v>1</v>
      </c>
      <c r="D40" s="10" t="s">
        <v>7</v>
      </c>
      <c r="E40" s="11" t="s">
        <v>33</v>
      </c>
      <c r="F40" s="7">
        <f>IF([1]!Table13[[#This Row],[Bank]]="HSBC",[1]!Table13[[#This Row],[Amount]]*0.004,IF(AND([1]!Table13[[#This Row],[Bank]]="Lloyds",[1]!Table13[[#This Row],[Merchant]]="Sainsbury's"),[1]!Table13[[#This Row],[Amount]]*0.05,0))</f>
        <v>0.63</v>
      </c>
    </row>
    <row r="41" spans="1:6" x14ac:dyDescent="0.2">
      <c r="A41" s="8">
        <v>45558</v>
      </c>
      <c r="B41" s="9" t="s">
        <v>11</v>
      </c>
      <c r="C41" s="1">
        <v>5.6</v>
      </c>
      <c r="D41" s="10" t="s">
        <v>7</v>
      </c>
      <c r="E41" s="11" t="s">
        <v>25</v>
      </c>
      <c r="F41" s="7">
        <f>IF([1]!Table13[[#This Row],[Bank]]="HSBC",[1]!Table13[[#This Row],[Amount]]*0.004,IF(AND([1]!Table13[[#This Row],[Bank]]="Lloyds",[1]!Table13[[#This Row],[Merchant]]="Sainsbury's"),[1]!Table13[[#This Row],[Amount]]*0.05,0))</f>
        <v>4.0000000000000001E-3</v>
      </c>
    </row>
    <row r="42" spans="1:6" x14ac:dyDescent="0.2">
      <c r="A42" s="8">
        <v>45558</v>
      </c>
      <c r="B42" s="9" t="s">
        <v>18</v>
      </c>
      <c r="C42" s="1">
        <v>26.68</v>
      </c>
      <c r="D42" s="10" t="s">
        <v>7</v>
      </c>
      <c r="E42" s="11" t="s">
        <v>20</v>
      </c>
      <c r="F42" s="7">
        <f>IF([1]!Table13[[#This Row],[Bank]]="HSBC",[1]!Table13[[#This Row],[Amount]]*0.004,IF(AND([1]!Table13[[#This Row],[Bank]]="Lloyds",[1]!Table13[[#This Row],[Merchant]]="Sainsbury's"),[1]!Table13[[#This Row],[Amount]]*0.05,0))</f>
        <v>2.24E-2</v>
      </c>
    </row>
    <row r="43" spans="1:6" x14ac:dyDescent="0.2">
      <c r="A43" s="8">
        <v>45558</v>
      </c>
      <c r="B43" s="9" t="s">
        <v>18</v>
      </c>
      <c r="C43" s="1">
        <v>12.82</v>
      </c>
      <c r="D43" s="10" t="s">
        <v>7</v>
      </c>
      <c r="E43" s="11" t="s">
        <v>20</v>
      </c>
      <c r="F43" s="7">
        <f>IF([1]!Table13[[#This Row],[Bank]]="HSBC",[1]!Table13[[#This Row],[Amount]]*0.004,IF(AND([1]!Table13[[#This Row],[Bank]]="Lloyds",[1]!Table13[[#This Row],[Merchant]]="Sainsbury's"),[1]!Table13[[#This Row],[Amount]]*0.05,0))</f>
        <v>0.10672</v>
      </c>
    </row>
    <row r="44" spans="1:6" x14ac:dyDescent="0.2">
      <c r="A44" s="8">
        <v>45559</v>
      </c>
      <c r="B44" s="9" t="s">
        <v>11</v>
      </c>
      <c r="C44" s="1">
        <v>6.4</v>
      </c>
      <c r="D44" s="10" t="s">
        <v>7</v>
      </c>
      <c r="E44" s="11" t="s">
        <v>25</v>
      </c>
      <c r="F44" s="7">
        <f>IF([1]!Table13[[#This Row],[Bank]]="HSBC",[1]!Table13[[#This Row],[Amount]]*0.004,IF(AND([1]!Table13[[#This Row],[Bank]]="Lloyds",[1]!Table13[[#This Row],[Merchant]]="Sainsbury's"),[1]!Table13[[#This Row],[Amount]]*0.05,0))</f>
        <v>5.1279999999999999E-2</v>
      </c>
    </row>
    <row r="45" spans="1:6" x14ac:dyDescent="0.2">
      <c r="A45" s="8">
        <v>45559</v>
      </c>
      <c r="B45" s="9" t="s">
        <v>14</v>
      </c>
      <c r="C45" s="1">
        <v>29.67</v>
      </c>
      <c r="D45" s="10" t="s">
        <v>7</v>
      </c>
      <c r="E45" s="11" t="s">
        <v>23</v>
      </c>
      <c r="F45" s="7">
        <f>IF([1]!Table13[[#This Row],[Bank]]="HSBC",[1]!Table13[[#This Row],[Amount]]*0.004,IF(AND([1]!Table13[[#This Row],[Bank]]="Lloyds",[1]!Table13[[#This Row],[Merchant]]="Sainsbury's"),[1]!Table13[[#This Row],[Amount]]*0.05,0))</f>
        <v>2.5600000000000001E-2</v>
      </c>
    </row>
    <row r="46" spans="1:6" x14ac:dyDescent="0.2">
      <c r="A46" s="8">
        <v>45560</v>
      </c>
      <c r="B46" s="9" t="s">
        <v>32</v>
      </c>
      <c r="C46" s="1">
        <v>1</v>
      </c>
      <c r="D46" s="10" t="s">
        <v>7</v>
      </c>
      <c r="E46" s="11" t="s">
        <v>33</v>
      </c>
      <c r="F46" s="7">
        <f>IF([1]!Table13[[#This Row],[Bank]]="HSBC",[1]!Table13[[#This Row],[Amount]]*0.004,IF(AND([1]!Table13[[#This Row],[Bank]]="Lloyds",[1]!Table13[[#This Row],[Merchant]]="Sainsbury's"),[1]!Table13[[#This Row],[Amount]]*0.05,0))</f>
        <v>0.11868000000000001</v>
      </c>
    </row>
    <row r="47" spans="1:6" x14ac:dyDescent="0.2">
      <c r="A47" s="8">
        <v>45560</v>
      </c>
      <c r="B47" s="9" t="s">
        <v>14</v>
      </c>
      <c r="C47" s="1">
        <v>8.75</v>
      </c>
      <c r="D47" s="10" t="s">
        <v>7</v>
      </c>
      <c r="E47" s="15" t="s">
        <v>23</v>
      </c>
      <c r="F47" s="7">
        <f>IF([1]!Table13[[#This Row],[Bank]]="HSBC",[1]!Table13[[#This Row],[Amount]]*0.004,IF(AND([1]!Table13[[#This Row],[Bank]]="Lloyds",[1]!Table13[[#This Row],[Merchant]]="Sainsbury's"),[1]!Table13[[#This Row],[Amount]]*0.05,0))</f>
        <v>4.0000000000000001E-3</v>
      </c>
    </row>
    <row r="48" spans="1:6" x14ac:dyDescent="0.2">
      <c r="A48" s="8">
        <v>45560</v>
      </c>
      <c r="B48" s="9" t="s">
        <v>14</v>
      </c>
      <c r="C48" s="1">
        <v>1.75</v>
      </c>
      <c r="D48" s="10" t="s">
        <v>7</v>
      </c>
      <c r="E48" s="15" t="s">
        <v>23</v>
      </c>
      <c r="F48" s="7">
        <f>IF([1]!Table13[[#This Row],[Bank]]="HSBC",[1]!Table13[[#This Row],[Amount]]*0.004,IF(AND([1]!Table13[[#This Row],[Bank]]="Lloyds",[1]!Table13[[#This Row],[Merchant]]="Sainsbury's"),[1]!Table13[[#This Row],[Amount]]*0.05,0))</f>
        <v>3.5000000000000003E-2</v>
      </c>
    </row>
    <row r="49" spans="1:6" x14ac:dyDescent="0.2">
      <c r="A49" s="8">
        <v>45560</v>
      </c>
      <c r="B49" s="9" t="s">
        <v>14</v>
      </c>
      <c r="C49" s="1">
        <v>69.150000000000006</v>
      </c>
      <c r="D49" s="10" t="s">
        <v>7</v>
      </c>
      <c r="E49" s="15" t="s">
        <v>34</v>
      </c>
      <c r="F49" s="7">
        <f>IF([1]!Table13[[#This Row],[Bank]]="HSBC",[1]!Table13[[#This Row],[Amount]]*0.004,IF(AND([1]!Table13[[#This Row],[Bank]]="Lloyds",[1]!Table13[[#This Row],[Merchant]]="Sainsbury's"),[1]!Table13[[#This Row],[Amount]]*0.05,0))</f>
        <v>7.0000000000000001E-3</v>
      </c>
    </row>
    <row r="50" spans="1:6" x14ac:dyDescent="0.2">
      <c r="A50" s="8">
        <v>45560</v>
      </c>
      <c r="B50" s="9" t="s">
        <v>9</v>
      </c>
      <c r="C50" s="1">
        <v>6</v>
      </c>
      <c r="D50" s="10" t="s">
        <v>7</v>
      </c>
      <c r="E50" s="15" t="s">
        <v>29</v>
      </c>
      <c r="F50" s="7">
        <f>IF([1]!Table13[[#This Row],[Bank]]="HSBC",[1]!Table13[[#This Row],[Amount]]*0.004,IF(AND([1]!Table13[[#This Row],[Bank]]="Lloyds",[1]!Table13[[#This Row],[Merchant]]="Sainsbury's"),[1]!Table13[[#This Row],[Amount]]*0.05,0))</f>
        <v>0.27660000000000001</v>
      </c>
    </row>
    <row r="51" spans="1:6" x14ac:dyDescent="0.2">
      <c r="A51" s="8">
        <v>45561</v>
      </c>
      <c r="B51" s="9" t="s">
        <v>11</v>
      </c>
      <c r="C51" s="1">
        <v>8</v>
      </c>
      <c r="D51" s="10" t="s">
        <v>7</v>
      </c>
      <c r="E51" s="15" t="s">
        <v>27</v>
      </c>
      <c r="F51" s="7">
        <f>IF([1]!Table13[[#This Row],[Bank]]="HSBC",[1]!Table13[[#This Row],[Amount]]*0.004,IF(AND([1]!Table13[[#This Row],[Bank]]="Lloyds",[1]!Table13[[#This Row],[Merchant]]="Sainsbury's"),[1]!Table13[[#This Row],[Amount]]*0.05,0))</f>
        <v>2.4E-2</v>
      </c>
    </row>
    <row r="52" spans="1:6" x14ac:dyDescent="0.2">
      <c r="A52" s="8">
        <v>45561</v>
      </c>
      <c r="B52" s="9" t="s">
        <v>9</v>
      </c>
      <c r="C52" s="1">
        <v>6</v>
      </c>
      <c r="D52" s="10" t="s">
        <v>7</v>
      </c>
      <c r="E52" s="15" t="s">
        <v>29</v>
      </c>
      <c r="F52" s="7">
        <f>IF([1]!Table13[[#This Row],[Bank]]="HSBC",[1]!Table13[[#This Row],[Amount]]*0.004,IF(AND([1]!Table13[[#This Row],[Bank]]="Lloyds",[1]!Table13[[#This Row],[Merchant]]="Sainsbury's"),[1]!Table13[[#This Row],[Amount]]*0.05,0))</f>
        <v>3.2000000000000001E-2</v>
      </c>
    </row>
    <row r="53" spans="1:6" x14ac:dyDescent="0.2">
      <c r="A53" s="8">
        <v>45561</v>
      </c>
      <c r="B53" s="9" t="s">
        <v>18</v>
      </c>
      <c r="C53" s="1">
        <v>59.75</v>
      </c>
      <c r="D53" s="10" t="s">
        <v>7</v>
      </c>
      <c r="E53" s="15" t="s">
        <v>35</v>
      </c>
      <c r="F53" s="7">
        <f>IF([1]!Table13[[#This Row],[Bank]]="HSBC",[1]!Table13[[#This Row],[Amount]]*0.004,IF(AND([1]!Table13[[#This Row],[Bank]]="Lloyds",[1]!Table13[[#This Row],[Merchant]]="Sainsbury's"),[1]!Table13[[#This Row],[Amount]]*0.05,0))</f>
        <v>2.4E-2</v>
      </c>
    </row>
    <row r="54" spans="1:6" x14ac:dyDescent="0.2">
      <c r="A54" s="8">
        <v>45562</v>
      </c>
      <c r="B54" s="9" t="s">
        <v>18</v>
      </c>
      <c r="C54" s="1">
        <v>32.5</v>
      </c>
      <c r="D54" s="10" t="s">
        <v>7</v>
      </c>
      <c r="E54" s="15" t="s">
        <v>36</v>
      </c>
      <c r="F54" s="7">
        <f>IF([1]!Table13[[#This Row],[Bank]]="HSBC",[1]!Table13[[#This Row],[Amount]]*0.004,IF(AND([1]!Table13[[#This Row],[Bank]]="Lloyds",[1]!Table13[[#This Row],[Merchant]]="Sainsbury's"),[1]!Table13[[#This Row],[Amount]]*0.05,0))</f>
        <v>0.23900000000000002</v>
      </c>
    </row>
    <row r="55" spans="1:6" x14ac:dyDescent="0.2">
      <c r="A55" s="8">
        <v>45562</v>
      </c>
      <c r="B55" s="9" t="s">
        <v>18</v>
      </c>
      <c r="C55" s="1">
        <v>12.3</v>
      </c>
      <c r="D55" s="10" t="s">
        <v>7</v>
      </c>
      <c r="E55" s="15" t="s">
        <v>37</v>
      </c>
      <c r="F55" s="7">
        <f>IF([1]!Table13[[#This Row],[Bank]]="HSBC",[1]!Table13[[#This Row],[Amount]]*0.004,IF(AND([1]!Table13[[#This Row],[Bank]]="Lloyds",[1]!Table13[[#This Row],[Merchant]]="Sainsbury's"),[1]!Table13[[#This Row],[Amount]]*0.05,0))</f>
        <v>0.13</v>
      </c>
    </row>
    <row r="56" spans="1:6" x14ac:dyDescent="0.2">
      <c r="A56" s="8">
        <v>45562</v>
      </c>
      <c r="B56" s="9" t="s">
        <v>18</v>
      </c>
      <c r="C56" s="1">
        <v>13.6</v>
      </c>
      <c r="D56" s="10" t="s">
        <v>7</v>
      </c>
      <c r="E56" s="15" t="s">
        <v>22</v>
      </c>
      <c r="F56" s="7">
        <f>IF([1]!Table13[[#This Row],[Bank]]="HSBC",[1]!Table13[[#This Row],[Amount]]*0.004,IF(AND([1]!Table13[[#This Row],[Bank]]="Lloyds",[1]!Table13[[#This Row],[Merchant]]="Sainsbury's"),[1]!Table13[[#This Row],[Amount]]*0.05,0))</f>
        <v>4.9200000000000001E-2</v>
      </c>
    </row>
    <row r="57" spans="1:6" x14ac:dyDescent="0.2">
      <c r="A57" s="8">
        <v>45562</v>
      </c>
      <c r="B57" s="9" t="s">
        <v>14</v>
      </c>
      <c r="C57" s="1">
        <v>10.85</v>
      </c>
      <c r="D57" s="10" t="s">
        <v>7</v>
      </c>
      <c r="E57" s="15" t="s">
        <v>34</v>
      </c>
      <c r="F57" s="7">
        <f>IF([1]!Table13[[#This Row],[Bank]]="HSBC",[1]!Table13[[#This Row],[Amount]]*0.004,IF(AND([1]!Table13[[#This Row],[Bank]]="Lloyds",[1]!Table13[[#This Row],[Merchant]]="Sainsbury's"),[1]!Table13[[#This Row],[Amount]]*0.05,0))</f>
        <v>5.4399999999999997E-2</v>
      </c>
    </row>
    <row r="58" spans="1:6" x14ac:dyDescent="0.2">
      <c r="A58" s="8">
        <v>45562</v>
      </c>
      <c r="B58" s="9" t="s">
        <v>9</v>
      </c>
      <c r="C58" s="1">
        <v>6</v>
      </c>
      <c r="D58" s="10" t="s">
        <v>7</v>
      </c>
      <c r="E58" s="15" t="s">
        <v>29</v>
      </c>
      <c r="F58" s="7">
        <f>IF([1]!Table13[[#This Row],[Bank]]="HSBC",[1]!Table13[[#This Row],[Amount]]*0.004,IF(AND([1]!Table13[[#This Row],[Bank]]="Lloyds",[1]!Table13[[#This Row],[Merchant]]="Sainsbury's"),[1]!Table13[[#This Row],[Amount]]*0.05,0))</f>
        <v>4.3400000000000001E-2</v>
      </c>
    </row>
    <row r="59" spans="1:6" x14ac:dyDescent="0.2">
      <c r="A59" s="8">
        <v>45563</v>
      </c>
      <c r="B59" s="9" t="s">
        <v>11</v>
      </c>
      <c r="C59" s="1">
        <v>1.9</v>
      </c>
      <c r="D59" s="10" t="s">
        <v>7</v>
      </c>
      <c r="E59" s="15" t="s">
        <v>27</v>
      </c>
      <c r="F59" s="7">
        <f>IF([1]!Table13[[#This Row],[Bank]]="HSBC",[1]!Table13[[#This Row],[Amount]]*0.004,IF(AND([1]!Table13[[#This Row],[Bank]]="Lloyds",[1]!Table13[[#This Row],[Merchant]]="Sainsbury's"),[1]!Table13[[#This Row],[Amount]]*0.05,0))</f>
        <v>2.4E-2</v>
      </c>
    </row>
    <row r="60" spans="1:6" x14ac:dyDescent="0.2">
      <c r="A60" s="8">
        <v>45564</v>
      </c>
      <c r="B60" s="9" t="s">
        <v>11</v>
      </c>
      <c r="C60" s="1">
        <v>1.9</v>
      </c>
      <c r="D60" s="10" t="s">
        <v>7</v>
      </c>
      <c r="E60" s="15" t="s">
        <v>33</v>
      </c>
      <c r="F60" s="7">
        <f>IF([1]!Table13[[#This Row],[Bank]]="HSBC",[1]!Table13[[#This Row],[Amount]]*0.004,IF(AND([1]!Table13[[#This Row],[Bank]]="Lloyds",[1]!Table13[[#This Row],[Merchant]]="Sainsbury's"),[1]!Table13[[#This Row],[Amount]]*0.05,0))</f>
        <v>7.6E-3</v>
      </c>
    </row>
    <row r="61" spans="1:6" x14ac:dyDescent="0.2">
      <c r="A61" s="8">
        <v>45564</v>
      </c>
      <c r="B61" s="9" t="s">
        <v>30</v>
      </c>
      <c r="C61" s="1">
        <v>10</v>
      </c>
      <c r="D61" s="10" t="s">
        <v>7</v>
      </c>
      <c r="E61" s="15" t="s">
        <v>30</v>
      </c>
      <c r="F61" s="7">
        <f>IF([1]!Table13[[#This Row],[Bank]]="HSBC",[1]!Table13[[#This Row],[Amount]]*0.004,IF(AND([1]!Table13[[#This Row],[Bank]]="Lloyds",[1]!Table13[[#This Row],[Merchant]]="Sainsbury's"),[1]!Table13[[#This Row],[Amount]]*0.05,0))</f>
        <v>7.6E-3</v>
      </c>
    </row>
    <row r="62" spans="1:6" x14ac:dyDescent="0.2">
      <c r="A62" s="8">
        <v>45565</v>
      </c>
      <c r="B62" s="9" t="s">
        <v>32</v>
      </c>
      <c r="C62" s="1">
        <v>1</v>
      </c>
      <c r="D62" s="10" t="s">
        <v>7</v>
      </c>
      <c r="E62" s="15" t="s">
        <v>33</v>
      </c>
      <c r="F62" s="7">
        <f>IF([1]!Table13[[#This Row],[Bank]]="HSBC",[1]!Table13[[#This Row],[Amount]]*0.004,IF(AND([1]!Table13[[#This Row],[Bank]]="Lloyds",[1]!Table13[[#This Row],[Merchant]]="Sainsbury's"),[1]!Table13[[#This Row],[Amount]]*0.05,0))</f>
        <v>0.04</v>
      </c>
    </row>
    <row r="63" spans="1:6" x14ac:dyDescent="0.2">
      <c r="A63" s="8">
        <v>45565</v>
      </c>
      <c r="B63" s="9" t="s">
        <v>14</v>
      </c>
      <c r="C63" s="1">
        <v>24.98</v>
      </c>
      <c r="D63" s="10" t="s">
        <v>7</v>
      </c>
      <c r="E63" s="15" t="s">
        <v>23</v>
      </c>
      <c r="F63" s="7">
        <f>IF([1]!Table13[[#This Row],[Bank]]="HSBC",[1]!Table13[[#This Row],[Amount]]*0.004,IF(AND([1]!Table13[[#This Row],[Bank]]="Lloyds",[1]!Table13[[#This Row],[Merchant]]="Sainsbury's"),[1]!Table13[[#This Row],[Amount]]*0.05,0))</f>
        <v>4.0000000000000001E-3</v>
      </c>
    </row>
    <row r="64" spans="1:6" x14ac:dyDescent="0.2">
      <c r="A64" s="8">
        <v>45565</v>
      </c>
      <c r="B64" s="9" t="s">
        <v>18</v>
      </c>
      <c r="C64" s="1">
        <v>46.91</v>
      </c>
      <c r="D64" s="10" t="s">
        <v>7</v>
      </c>
      <c r="E64" s="15" t="s">
        <v>20</v>
      </c>
      <c r="F64" s="7">
        <f>IF([1]!Table13[[#This Row],[Bank]]="HSBC",[1]!Table13[[#This Row],[Amount]]*0.004,IF(AND([1]!Table13[[#This Row],[Bank]]="Lloyds",[1]!Table13[[#This Row],[Merchant]]="Sainsbury's"),[1]!Table13[[#This Row],[Amount]]*0.05,0))</f>
        <v>9.9920000000000009E-2</v>
      </c>
    </row>
    <row r="65" spans="1:6" x14ac:dyDescent="0.2">
      <c r="A65" s="8"/>
      <c r="B65" s="9"/>
      <c r="C65" s="1"/>
      <c r="D65" s="10" t="s">
        <v>7</v>
      </c>
      <c r="E65" s="15"/>
      <c r="F65" s="7">
        <f>IF([1]!Table13[[#This Row],[Bank]]="HSBC",[1]!Table13[[#This Row],[Amount]]*0.004,IF(AND([1]!Table13[[#This Row],[Bank]]="Lloyds",[1]!Table13[[#This Row],[Merchant]]="Sainsbury's"),[1]!Table13[[#This Row],[Amount]]*0.05,0))</f>
        <v>0.18764</v>
      </c>
    </row>
  </sheetData>
  <conditionalFormatting sqref="C1:C6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KIMI TANG</dc:creator>
  <cp:lastModifiedBy>KIMI TANG</cp:lastModifiedBy>
  <dcterms:created xsi:type="dcterms:W3CDTF">2026-02-17T18:59:10Z</dcterms:created>
  <dcterms:modified xsi:type="dcterms:W3CDTF">2026-02-17T19:16:30Z</dcterms:modified>
</cp:coreProperties>
</file>